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lase Python\cd2\"/>
    </mc:Choice>
  </mc:AlternateContent>
  <xr:revisionPtr revIDLastSave="0" documentId="8_{02AD0AFB-6B8B-4DE4-A112-92141051A469}" xr6:coauthVersionLast="45" xr6:coauthVersionMax="45" xr10:uidLastSave="{00000000-0000-0000-0000-000000000000}"/>
  <bookViews>
    <workbookView xWindow="4230" yWindow="1905" windowWidth="21600" windowHeight="11385" xr2:uid="{6C063E6E-8056-4547-9191-363A30ED8AB8}"/>
  </bookViews>
  <sheets>
    <sheet name="Nómina" sheetId="1" r:id="rId1"/>
    <sheet name="Horas extras y demá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" l="1"/>
  <c r="E2" i="2" l="1"/>
  <c r="F2" i="2" s="1"/>
  <c r="E4" i="2" s="1"/>
  <c r="G4" i="2" s="1"/>
  <c r="G11" i="2" s="1"/>
  <c r="I8" i="1"/>
  <c r="E5" i="2" l="1"/>
  <c r="G5" i="2" s="1"/>
  <c r="E7" i="2"/>
  <c r="G7" i="2" s="1"/>
  <c r="E9" i="2"/>
  <c r="G9" i="2" s="1"/>
  <c r="E6" i="2"/>
  <c r="G6" i="2" s="1"/>
  <c r="E8" i="2"/>
  <c r="G8" i="2" s="1"/>
  <c r="G10" i="2" l="1"/>
  <c r="G12" i="2"/>
  <c r="E10" i="1" l="1"/>
  <c r="F23" i="1" l="1"/>
  <c r="G23" i="1"/>
  <c r="H23" i="1"/>
  <c r="N23" i="1"/>
  <c r="O23" i="1"/>
  <c r="I11" i="1" l="1"/>
  <c r="I9" i="1"/>
  <c r="I10" i="1"/>
  <c r="I12" i="1"/>
  <c r="I13" i="1"/>
  <c r="I14" i="1"/>
  <c r="I15" i="1"/>
  <c r="I16" i="1"/>
  <c r="I17" i="1"/>
  <c r="I18" i="1"/>
  <c r="I19" i="1"/>
  <c r="I20" i="1"/>
  <c r="I21" i="1"/>
  <c r="I22" i="1"/>
  <c r="E9" i="1"/>
  <c r="E11" i="1"/>
  <c r="E12" i="1"/>
  <c r="E13" i="1"/>
  <c r="E14" i="1"/>
  <c r="E15" i="1"/>
  <c r="E16" i="1"/>
  <c r="E17" i="1"/>
  <c r="E18" i="1"/>
  <c r="E19" i="1"/>
  <c r="E20" i="1"/>
  <c r="E21" i="1"/>
  <c r="E22" i="1"/>
  <c r="E8" i="1"/>
  <c r="J19" i="1" l="1"/>
  <c r="I23" i="1"/>
  <c r="E23" i="1"/>
  <c r="J10" i="1"/>
  <c r="J14" i="1"/>
  <c r="J8" i="1"/>
  <c r="J21" i="1"/>
  <c r="J11" i="1"/>
  <c r="J16" i="1"/>
  <c r="J9" i="1"/>
  <c r="J18" i="1"/>
  <c r="J13" i="1"/>
  <c r="J12" i="1"/>
  <c r="J17" i="1"/>
  <c r="J22" i="1"/>
  <c r="J15" i="1"/>
  <c r="J20" i="1"/>
  <c r="L9" i="1" l="1"/>
  <c r="K9" i="1"/>
  <c r="K11" i="1"/>
  <c r="L11" i="1"/>
  <c r="K21" i="1"/>
  <c r="L21" i="1"/>
  <c r="L8" i="1"/>
  <c r="K8" i="1"/>
  <c r="K16" i="1"/>
  <c r="L16" i="1"/>
  <c r="K20" i="1"/>
  <c r="L20" i="1"/>
  <c r="K14" i="1"/>
  <c r="L14" i="1"/>
  <c r="L10" i="1"/>
  <c r="K10" i="1"/>
  <c r="K18" i="1"/>
  <c r="L18" i="1"/>
  <c r="L22" i="1"/>
  <c r="K22" i="1"/>
  <c r="K15" i="1"/>
  <c r="L15" i="1"/>
  <c r="K17" i="1"/>
  <c r="L17" i="1"/>
  <c r="K13" i="1"/>
  <c r="L13" i="1"/>
  <c r="K12" i="1"/>
  <c r="L12" i="1"/>
  <c r="K19" i="1"/>
  <c r="L19" i="1"/>
  <c r="M15" i="1"/>
  <c r="M17" i="1"/>
  <c r="M13" i="1"/>
  <c r="M9" i="1"/>
  <c r="M20" i="1"/>
  <c r="M12" i="1"/>
  <c r="M18" i="1"/>
  <c r="M16" i="1"/>
  <c r="M21" i="1"/>
  <c r="M14" i="1"/>
  <c r="M19" i="1"/>
  <c r="M31" i="1"/>
  <c r="M34" i="1"/>
  <c r="M33" i="1"/>
  <c r="M22" i="1"/>
  <c r="M11" i="1"/>
  <c r="M8" i="1"/>
  <c r="M10" i="1"/>
  <c r="J23" i="1"/>
  <c r="M39" i="1" s="1"/>
  <c r="P9" i="1" l="1"/>
  <c r="P13" i="1"/>
  <c r="P17" i="1"/>
  <c r="P21" i="1"/>
  <c r="P12" i="1"/>
  <c r="P16" i="1"/>
  <c r="P20" i="1"/>
  <c r="P11" i="1"/>
  <c r="P15" i="1"/>
  <c r="P19" i="1"/>
  <c r="P8" i="1"/>
  <c r="P10" i="1"/>
  <c r="P14" i="1"/>
  <c r="P18" i="1"/>
  <c r="P22" i="1"/>
  <c r="M37" i="1"/>
  <c r="M38" i="1" s="1"/>
  <c r="M36" i="1"/>
  <c r="M35" i="1"/>
  <c r="M30" i="1"/>
  <c r="M32" i="1"/>
  <c r="L23" i="1"/>
  <c r="M23" i="1"/>
  <c r="K23" i="1"/>
  <c r="M40" i="1" l="1"/>
  <c r="P23" i="1"/>
  <c r="B25" i="1" s="1"/>
  <c r="D25" i="1"/>
</calcChain>
</file>

<file path=xl/sharedStrings.xml><?xml version="1.0" encoding="utf-8"?>
<sst xmlns="http://schemas.openxmlformats.org/spreadsheetml/2006/main" count="80" uniqueCount="79">
  <si>
    <t>Salario 
básico</t>
  </si>
  <si>
    <t>Nombre del
empleado</t>
  </si>
  <si>
    <t>Auxilio de
transporte</t>
  </si>
  <si>
    <t>Horas 
extras</t>
  </si>
  <si>
    <t>Recargos 
nocturnos</t>
  </si>
  <si>
    <t>Total
devengado</t>
  </si>
  <si>
    <t>Salud</t>
  </si>
  <si>
    <t>Pensión</t>
  </si>
  <si>
    <t>Retención en 
la fuente</t>
  </si>
  <si>
    <t>Pedro</t>
  </si>
  <si>
    <t>Trabajo dominical 
y festivo</t>
  </si>
  <si>
    <t>Fondo de solidaridad
pensional</t>
  </si>
  <si>
    <t>Salario mínimo</t>
  </si>
  <si>
    <t>Auxilio de transporte</t>
  </si>
  <si>
    <t>Días 
liquidados</t>
  </si>
  <si>
    <t>Salario 
devengado</t>
  </si>
  <si>
    <t>María</t>
  </si>
  <si>
    <t>Sena</t>
  </si>
  <si>
    <t>Icbf</t>
  </si>
  <si>
    <t>Cajas de compensación</t>
  </si>
  <si>
    <t>Otras
 deducciones</t>
  </si>
  <si>
    <t>Neto
 pagado</t>
  </si>
  <si>
    <t>Aportes a pensión</t>
  </si>
  <si>
    <t>Aportes a salud</t>
  </si>
  <si>
    <t>Aportes a riesgos laborales</t>
  </si>
  <si>
    <t>Prima de servicios</t>
  </si>
  <si>
    <t>Cesantía</t>
  </si>
  <si>
    <t>Intereses sobre cesantías</t>
  </si>
  <si>
    <t>Provisón de vacaciones</t>
  </si>
  <si>
    <t>Totales</t>
  </si>
  <si>
    <t>Oscar</t>
  </si>
  <si>
    <t>Si</t>
  </si>
  <si>
    <t>¿Está exonerado del pago de aportes?</t>
  </si>
  <si>
    <t>Devengado</t>
  </si>
  <si>
    <t>Deducciones</t>
  </si>
  <si>
    <t>Firma del 
 empleado</t>
  </si>
  <si>
    <t>Periodo de pago</t>
  </si>
  <si>
    <t>Abril 01 2019 - Abril 30 2019</t>
  </si>
  <si>
    <t>Recargo Nocturno</t>
  </si>
  <si>
    <t>Hora extra diurna</t>
  </si>
  <si>
    <t>Hora extra nocturna</t>
  </si>
  <si>
    <t>Hora Ordinaria dominical o festivo</t>
  </si>
  <si>
    <t>Hora extra diurna dominical o festivo</t>
  </si>
  <si>
    <t>Hora extra nocturna dominical o festivo</t>
  </si>
  <si>
    <t>Horas extrsa, recargos nocturnos, dominicales y festivos</t>
  </si>
  <si>
    <t>Concepto</t>
  </si>
  <si>
    <t>Factor</t>
  </si>
  <si>
    <t>Valor total</t>
  </si>
  <si>
    <t xml:space="preserve">Sueldo de </t>
  </si>
  <si>
    <t>Valor de la hora con el recargo</t>
  </si>
  <si>
    <t>Porcentaje de recargo</t>
  </si>
  <si>
    <t>Subtotal trabajo extra</t>
  </si>
  <si>
    <t>Subtotal recargo nocturno</t>
  </si>
  <si>
    <t>Subtotal trabajo dominical y festivo</t>
  </si>
  <si>
    <t>Seleccione el trabajador a liquidar:</t>
  </si>
  <si>
    <t>Ingrese las horas trabajadas</t>
  </si>
  <si>
    <t>Descargue aquí el liquidador de horas extras</t>
  </si>
  <si>
    <t>Angela</t>
  </si>
  <si>
    <t>Arturo</t>
  </si>
  <si>
    <t>Angie</t>
  </si>
  <si>
    <t>Camila</t>
  </si>
  <si>
    <t>Alejandra</t>
  </si>
  <si>
    <t>Cleopatra</t>
  </si>
  <si>
    <t>Juana de Arco</t>
  </si>
  <si>
    <t>Magda</t>
  </si>
  <si>
    <t>Inés</t>
  </si>
  <si>
    <t>Clara</t>
  </si>
  <si>
    <t>César</t>
  </si>
  <si>
    <t>Susana</t>
  </si>
  <si>
    <t>Comprobante de Pago Nº:</t>
  </si>
  <si>
    <t>Elaborador Por:</t>
  </si>
  <si>
    <t>Revisado Por:</t>
  </si>
  <si>
    <t>Aprobado Por:</t>
  </si>
  <si>
    <t>Observaciones</t>
  </si>
  <si>
    <t>Total provisiones</t>
  </si>
  <si>
    <t>Provisiones de nómina a 
cargo del empleador.</t>
  </si>
  <si>
    <t>Diligencie los siguientes valores de referencia:</t>
  </si>
  <si>
    <t>Fecha de liquidación</t>
  </si>
  <si>
    <t>Fecha 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</si>
</sst>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64" formatCode="&quot;Neto pagado:&quot;\ &quot;$&quot;0#,##0;\-#,##0"/>
    <numFmt numFmtId="165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3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8"/>
      <color theme="8" tint="-0.249977111117893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9"/>
      <color theme="1"/>
      <name val="Arial Narrow"/>
      <family val="2"/>
    </font>
    <font>
      <b/>
      <sz val="16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 Narrow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EE3E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1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2" borderId="1" xfId="0" applyFill="1" applyBorder="1"/>
    <xf numFmtId="41" fontId="0" fillId="2" borderId="1" xfId="0" applyNumberFormat="1" applyFill="1" applyBorder="1"/>
    <xf numFmtId="0" fontId="7" fillId="6" borderId="2" xfId="0" applyFont="1" applyFill="1" applyBorder="1" applyAlignment="1">
      <alignment horizontal="center"/>
    </xf>
    <xf numFmtId="0" fontId="7" fillId="6" borderId="3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7" fillId="13" borderId="1" xfId="0" applyFont="1" applyFill="1" applyBorder="1" applyAlignment="1">
      <alignment horizontal="center"/>
    </xf>
    <xf numFmtId="0" fontId="3" fillId="6" borderId="1" xfId="0" applyFont="1" applyFill="1" applyBorder="1" applyAlignment="1"/>
    <xf numFmtId="41" fontId="0" fillId="6" borderId="1" xfId="0" applyNumberFormat="1" applyFill="1" applyBorder="1" applyAlignment="1"/>
    <xf numFmtId="0" fontId="13" fillId="2" borderId="28" xfId="0" applyFont="1" applyFill="1" applyBorder="1" applyAlignment="1" applyProtection="1">
      <alignment horizontal="center"/>
      <protection locked="0"/>
    </xf>
    <xf numFmtId="0" fontId="13" fillId="2" borderId="31" xfId="0" applyFont="1" applyFill="1" applyBorder="1" applyAlignment="1" applyProtection="1">
      <alignment horizontal="center"/>
      <protection locked="0"/>
    </xf>
    <xf numFmtId="0" fontId="4" fillId="2" borderId="17" xfId="0" applyFont="1" applyFill="1" applyBorder="1" applyAlignment="1" applyProtection="1">
      <alignment vertical="top"/>
      <protection locked="0"/>
    </xf>
    <xf numFmtId="0" fontId="7" fillId="6" borderId="1" xfId="0" applyFont="1" applyFill="1" applyBorder="1" applyAlignment="1" applyProtection="1">
      <alignment horizontal="center"/>
      <protection locked="0"/>
    </xf>
    <xf numFmtId="41" fontId="0" fillId="2" borderId="1" xfId="0" applyNumberFormat="1" applyFill="1" applyBorder="1" applyProtection="1">
      <protection locked="0"/>
    </xf>
    <xf numFmtId="41" fontId="0" fillId="2" borderId="0" xfId="1" applyFont="1" applyFill="1" applyProtection="1">
      <protection locked="0"/>
    </xf>
    <xf numFmtId="41" fontId="0" fillId="2" borderId="1" xfId="1" applyFont="1" applyFill="1" applyBorder="1" applyAlignment="1" applyProtection="1">
      <alignment horizontal="center" vertical="center"/>
      <protection locked="0"/>
    </xf>
    <xf numFmtId="41" fontId="2" fillId="5" borderId="1" xfId="1" applyFont="1" applyFill="1" applyBorder="1" applyAlignment="1" applyProtection="1">
      <alignment horizontal="center" vertical="center"/>
      <protection locked="0"/>
    </xf>
    <xf numFmtId="41" fontId="3" fillId="9" borderId="1" xfId="1" applyFont="1" applyFill="1" applyBorder="1" applyAlignment="1" applyProtection="1">
      <alignment horizontal="center" vertical="center" wrapText="1"/>
      <protection locked="0"/>
    </xf>
    <xf numFmtId="41" fontId="3" fillId="11" borderId="1" xfId="1" applyFont="1" applyFill="1" applyBorder="1" applyAlignment="1" applyProtection="1">
      <alignment horizontal="center" vertical="center"/>
      <protection locked="0"/>
    </xf>
    <xf numFmtId="41" fontId="3" fillId="11" borderId="1" xfId="1" applyFont="1" applyFill="1" applyBorder="1" applyAlignment="1" applyProtection="1">
      <alignment horizontal="center" vertical="center" wrapText="1"/>
      <protection locked="0"/>
    </xf>
    <xf numFmtId="41" fontId="3" fillId="2" borderId="0" xfId="1" applyFont="1" applyFill="1" applyAlignment="1" applyProtection="1">
      <alignment horizontal="center" vertical="center"/>
      <protection locked="0"/>
    </xf>
    <xf numFmtId="41" fontId="0" fillId="2" borderId="1" xfId="1" applyFont="1" applyFill="1" applyBorder="1" applyProtection="1">
      <protection locked="0"/>
    </xf>
    <xf numFmtId="41" fontId="0" fillId="2" borderId="5" xfId="1" applyFont="1" applyFill="1" applyBorder="1" applyProtection="1">
      <protection locked="0"/>
    </xf>
    <xf numFmtId="41" fontId="3" fillId="2" borderId="1" xfId="1" applyFont="1" applyFill="1" applyBorder="1" applyProtection="1">
      <protection locked="0"/>
    </xf>
    <xf numFmtId="41" fontId="3" fillId="2" borderId="0" xfId="1" applyFont="1" applyFill="1" applyBorder="1" applyProtection="1">
      <protection locked="0"/>
    </xf>
    <xf numFmtId="41" fontId="0" fillId="2" borderId="0" xfId="1" applyNumberFormat="1" applyFont="1" applyFill="1" applyProtection="1">
      <protection locked="0"/>
    </xf>
    <xf numFmtId="0" fontId="11" fillId="2" borderId="14" xfId="0" applyFont="1" applyFill="1" applyBorder="1" applyAlignment="1" applyProtection="1">
      <alignment horizontal="center"/>
      <protection locked="0"/>
    </xf>
    <xf numFmtId="0" fontId="13" fillId="2" borderId="0" xfId="0" applyFont="1" applyFill="1" applyProtection="1">
      <protection locked="0"/>
    </xf>
    <xf numFmtId="0" fontId="11" fillId="2" borderId="25" xfId="0" applyFont="1" applyFill="1" applyBorder="1" applyAlignment="1" applyProtection="1">
      <alignment horizontal="center"/>
      <protection locked="0"/>
    </xf>
    <xf numFmtId="0" fontId="11" fillId="2" borderId="28" xfId="0" applyFont="1" applyFill="1" applyBorder="1" applyAlignment="1" applyProtection="1">
      <alignment horizontal="center"/>
      <protection locked="0"/>
    </xf>
    <xf numFmtId="41" fontId="0" fillId="2" borderId="1" xfId="1" applyFont="1" applyFill="1" applyBorder="1" applyProtection="1"/>
    <xf numFmtId="41" fontId="0" fillId="2" borderId="5" xfId="1" applyFont="1" applyFill="1" applyBorder="1" applyProtection="1"/>
    <xf numFmtId="41" fontId="3" fillId="6" borderId="1" xfId="1" applyFont="1" applyFill="1" applyBorder="1" applyProtection="1"/>
    <xf numFmtId="41" fontId="0" fillId="2" borderId="1" xfId="1" applyFont="1" applyFill="1" applyBorder="1" applyAlignment="1" applyProtection="1">
      <alignment horizontal="left"/>
      <protection locked="0"/>
    </xf>
    <xf numFmtId="41" fontId="2" fillId="5" borderId="1" xfId="1" applyFont="1" applyFill="1" applyBorder="1" applyProtection="1"/>
    <xf numFmtId="0" fontId="13" fillId="2" borderId="23" xfId="0" applyFont="1" applyFill="1" applyBorder="1" applyProtection="1">
      <protection locked="0"/>
    </xf>
    <xf numFmtId="0" fontId="13" fillId="2" borderId="24" xfId="0" applyFont="1" applyFill="1" applyBorder="1" applyProtection="1">
      <protection locked="0"/>
    </xf>
    <xf numFmtId="41" fontId="3" fillId="6" borderId="2" xfId="1" applyFont="1" applyFill="1" applyBorder="1" applyAlignment="1" applyProtection="1">
      <alignment horizontal="center"/>
      <protection locked="0"/>
    </xf>
    <xf numFmtId="41" fontId="3" fillId="6" borderId="6" xfId="1" applyFont="1" applyFill="1" applyBorder="1" applyAlignment="1" applyProtection="1">
      <alignment horizontal="center"/>
      <protection locked="0"/>
    </xf>
    <xf numFmtId="41" fontId="3" fillId="6" borderId="3" xfId="1" applyFont="1" applyFill="1" applyBorder="1" applyAlignment="1" applyProtection="1">
      <alignment horizontal="center"/>
      <protection locked="0"/>
    </xf>
    <xf numFmtId="41" fontId="0" fillId="2" borderId="0" xfId="1" applyFont="1" applyFill="1" applyAlignment="1" applyProtection="1">
      <alignment horizontal="center"/>
      <protection locked="0"/>
    </xf>
    <xf numFmtId="41" fontId="16" fillId="4" borderId="12" xfId="1" applyFont="1" applyFill="1" applyBorder="1" applyAlignment="1" applyProtection="1">
      <alignment horizontal="center" vertical="center"/>
      <protection locked="0"/>
    </xf>
    <xf numFmtId="41" fontId="16" fillId="4" borderId="4" xfId="1" applyFont="1" applyFill="1" applyBorder="1" applyAlignment="1" applyProtection="1">
      <alignment horizontal="center" vertical="center"/>
      <protection locked="0"/>
    </xf>
    <xf numFmtId="41" fontId="16" fillId="4" borderId="13" xfId="1" applyFont="1" applyFill="1" applyBorder="1" applyAlignment="1" applyProtection="1">
      <alignment horizontal="center" vertical="center"/>
      <protection locked="0"/>
    </xf>
    <xf numFmtId="41" fontId="17" fillId="4" borderId="11" xfId="1" applyFont="1" applyFill="1" applyBorder="1" applyAlignment="1" applyProtection="1">
      <alignment horizontal="center" vertical="center"/>
      <protection locked="0"/>
    </xf>
    <xf numFmtId="41" fontId="17" fillId="4" borderId="0" xfId="1" applyFont="1" applyFill="1" applyBorder="1" applyAlignment="1" applyProtection="1">
      <alignment horizontal="center" vertical="center"/>
      <protection locked="0"/>
    </xf>
    <xf numFmtId="41" fontId="17" fillId="4" borderId="9" xfId="1" applyFont="1" applyFill="1" applyBorder="1" applyAlignment="1" applyProtection="1">
      <alignment horizontal="center" vertical="center"/>
      <protection locked="0"/>
    </xf>
    <xf numFmtId="41" fontId="14" fillId="12" borderId="11" xfId="1" applyFont="1" applyFill="1" applyBorder="1" applyAlignment="1" applyProtection="1">
      <alignment horizontal="center" vertical="center"/>
      <protection locked="0"/>
    </xf>
    <xf numFmtId="41" fontId="14" fillId="12" borderId="0" xfId="1" applyFont="1" applyFill="1" applyBorder="1" applyAlignment="1" applyProtection="1">
      <alignment horizontal="center" vertical="center"/>
      <protection locked="0"/>
    </xf>
    <xf numFmtId="41" fontId="14" fillId="12" borderId="9" xfId="1" applyFont="1" applyFill="1" applyBorder="1" applyAlignment="1" applyProtection="1">
      <alignment horizontal="center" vertical="center"/>
      <protection locked="0"/>
    </xf>
    <xf numFmtId="14" fontId="17" fillId="12" borderId="8" xfId="1" applyNumberFormat="1" applyFont="1" applyFill="1" applyBorder="1" applyAlignment="1" applyProtection="1">
      <alignment horizontal="center" vertical="center"/>
      <protection locked="0"/>
    </xf>
    <xf numFmtId="41" fontId="17" fillId="12" borderId="7" xfId="1" applyFont="1" applyFill="1" applyBorder="1" applyAlignment="1" applyProtection="1">
      <alignment horizontal="center" vertical="center"/>
      <protection locked="0"/>
    </xf>
    <xf numFmtId="41" fontId="17" fillId="12" borderId="10" xfId="1" applyFont="1" applyFill="1" applyBorder="1" applyAlignment="1" applyProtection="1">
      <alignment horizontal="center" vertical="center"/>
      <protection locked="0"/>
    </xf>
    <xf numFmtId="41" fontId="3" fillId="8" borderId="1" xfId="1" applyFont="1" applyFill="1" applyBorder="1" applyAlignment="1" applyProtection="1">
      <alignment horizontal="center" vertical="center" wrapText="1"/>
      <protection locked="0"/>
    </xf>
    <xf numFmtId="41" fontId="3" fillId="8" borderId="1" xfId="1" applyFont="1" applyFill="1" applyBorder="1" applyAlignment="1" applyProtection="1">
      <alignment horizontal="center" vertical="center"/>
      <protection locked="0"/>
    </xf>
    <xf numFmtId="41" fontId="0" fillId="4" borderId="12" xfId="1" applyFont="1" applyFill="1" applyBorder="1" applyAlignment="1" applyProtection="1">
      <alignment horizontal="center"/>
      <protection locked="0"/>
    </xf>
    <xf numFmtId="41" fontId="0" fillId="4" borderId="4" xfId="1" applyFont="1" applyFill="1" applyBorder="1" applyAlignment="1" applyProtection="1">
      <alignment horizontal="center"/>
      <protection locked="0"/>
    </xf>
    <xf numFmtId="41" fontId="0" fillId="4" borderId="13" xfId="1" applyFont="1" applyFill="1" applyBorder="1" applyAlignment="1" applyProtection="1">
      <alignment horizontal="center"/>
      <protection locked="0"/>
    </xf>
    <xf numFmtId="41" fontId="0" fillId="4" borderId="11" xfId="1" applyFont="1" applyFill="1" applyBorder="1" applyAlignment="1" applyProtection="1">
      <alignment horizontal="center"/>
      <protection locked="0"/>
    </xf>
    <xf numFmtId="41" fontId="0" fillId="4" borderId="0" xfId="1" applyFont="1" applyFill="1" applyBorder="1" applyAlignment="1" applyProtection="1">
      <alignment horizontal="center"/>
      <protection locked="0"/>
    </xf>
    <xf numFmtId="41" fontId="0" fillId="4" borderId="9" xfId="1" applyFont="1" applyFill="1" applyBorder="1" applyAlignment="1" applyProtection="1">
      <alignment horizontal="center"/>
      <protection locked="0"/>
    </xf>
    <xf numFmtId="41" fontId="0" fillId="4" borderId="8" xfId="1" applyFont="1" applyFill="1" applyBorder="1" applyAlignment="1" applyProtection="1">
      <alignment horizontal="center"/>
      <protection locked="0"/>
    </xf>
    <xf numFmtId="41" fontId="0" fillId="4" borderId="7" xfId="1" applyFont="1" applyFill="1" applyBorder="1" applyAlignment="1" applyProtection="1">
      <alignment horizontal="center"/>
      <protection locked="0"/>
    </xf>
    <xf numFmtId="41" fontId="0" fillId="4" borderId="10" xfId="1" applyFont="1" applyFill="1" applyBorder="1" applyAlignment="1" applyProtection="1">
      <alignment horizontal="center"/>
      <protection locked="0"/>
    </xf>
    <xf numFmtId="41" fontId="15" fillId="2" borderId="1" xfId="1" applyFont="1" applyFill="1" applyBorder="1" applyAlignment="1" applyProtection="1">
      <alignment horizontal="left" vertical="center"/>
      <protection locked="0"/>
    </xf>
    <xf numFmtId="41" fontId="6" fillId="3" borderId="1" xfId="1" applyFont="1" applyFill="1" applyBorder="1" applyAlignment="1" applyProtection="1">
      <alignment horizontal="center" vertical="center"/>
      <protection locked="0"/>
    </xf>
    <xf numFmtId="41" fontId="0" fillId="2" borderId="11" xfId="1" applyFont="1" applyFill="1" applyBorder="1" applyAlignment="1" applyProtection="1">
      <alignment horizontal="center"/>
      <protection locked="0"/>
    </xf>
    <xf numFmtId="41" fontId="0" fillId="2" borderId="9" xfId="1" applyFont="1" applyFill="1" applyBorder="1" applyAlignment="1" applyProtection="1">
      <alignment horizontal="center"/>
      <protection locked="0"/>
    </xf>
    <xf numFmtId="41" fontId="0" fillId="2" borderId="7" xfId="1" applyFont="1" applyFill="1" applyBorder="1" applyAlignment="1" applyProtection="1">
      <alignment horizontal="center"/>
      <protection locked="0"/>
    </xf>
    <xf numFmtId="41" fontId="3" fillId="7" borderId="1" xfId="1" applyFont="1" applyFill="1" applyBorder="1" applyAlignment="1" applyProtection="1">
      <alignment horizontal="center"/>
      <protection locked="0"/>
    </xf>
    <xf numFmtId="41" fontId="3" fillId="10" borderId="1" xfId="1" applyFont="1" applyFill="1" applyBorder="1" applyAlignment="1" applyProtection="1">
      <alignment horizontal="center"/>
      <protection locked="0"/>
    </xf>
    <xf numFmtId="41" fontId="2" fillId="3" borderId="1" xfId="1" applyFont="1" applyFill="1" applyBorder="1" applyAlignment="1" applyProtection="1">
      <alignment horizontal="center" vertical="center" wrapText="1"/>
      <protection locked="0"/>
    </xf>
    <xf numFmtId="0" fontId="13" fillId="2" borderId="32" xfId="0" applyFont="1" applyFill="1" applyBorder="1" applyAlignment="1" applyProtection="1">
      <alignment horizontal="center"/>
      <protection locked="0"/>
    </xf>
    <xf numFmtId="0" fontId="13" fillId="2" borderId="33" xfId="0" applyFont="1" applyFill="1" applyBorder="1" applyAlignment="1" applyProtection="1">
      <alignment horizontal="center"/>
      <protection locked="0"/>
    </xf>
    <xf numFmtId="0" fontId="5" fillId="2" borderId="18" xfId="0" applyFont="1" applyFill="1" applyBorder="1" applyAlignment="1" applyProtection="1">
      <alignment horizontal="center" vertical="top"/>
      <protection locked="0"/>
    </xf>
    <xf numFmtId="0" fontId="5" fillId="2" borderId="19" xfId="0" applyFont="1" applyFill="1" applyBorder="1" applyAlignment="1" applyProtection="1">
      <alignment horizontal="center" vertical="top"/>
      <protection locked="0"/>
    </xf>
    <xf numFmtId="0" fontId="5" fillId="2" borderId="0" xfId="0" applyFont="1" applyFill="1" applyBorder="1" applyAlignment="1" applyProtection="1">
      <alignment horizontal="center" vertical="top"/>
      <protection locked="0"/>
    </xf>
    <xf numFmtId="0" fontId="5" fillId="2" borderId="21" xfId="0" applyFont="1" applyFill="1" applyBorder="1" applyAlignment="1" applyProtection="1">
      <alignment horizontal="center" vertical="top"/>
      <protection locked="0"/>
    </xf>
    <xf numFmtId="41" fontId="0" fillId="2" borderId="2" xfId="1" applyFont="1" applyFill="1" applyBorder="1" applyAlignment="1" applyProtection="1">
      <alignment horizontal="left"/>
      <protection locked="0"/>
    </xf>
    <xf numFmtId="41" fontId="0" fillId="2" borderId="6" xfId="1" applyFont="1" applyFill="1" applyBorder="1" applyAlignment="1" applyProtection="1">
      <alignment horizontal="left"/>
      <protection locked="0"/>
    </xf>
    <xf numFmtId="41" fontId="0" fillId="2" borderId="3" xfId="1" applyFont="1" applyFill="1" applyBorder="1" applyAlignment="1" applyProtection="1">
      <alignment horizontal="left"/>
      <protection locked="0"/>
    </xf>
    <xf numFmtId="41" fontId="2" fillId="5" borderId="1" xfId="1" applyFont="1" applyFill="1" applyBorder="1" applyAlignment="1" applyProtection="1">
      <alignment horizontal="left"/>
      <protection locked="0"/>
    </xf>
    <xf numFmtId="41" fontId="0" fillId="2" borderId="1" xfId="1" applyFont="1" applyFill="1" applyBorder="1" applyAlignment="1" applyProtection="1">
      <protection locked="0"/>
    </xf>
    <xf numFmtId="0" fontId="4" fillId="2" borderId="20" xfId="0" applyFont="1" applyFill="1" applyBorder="1" applyAlignment="1" applyProtection="1">
      <alignment horizontal="center" vertical="top"/>
      <protection locked="0"/>
    </xf>
    <xf numFmtId="0" fontId="4" fillId="2" borderId="22" xfId="0" applyFont="1" applyFill="1" applyBorder="1" applyAlignment="1" applyProtection="1">
      <alignment horizontal="center" vertical="top"/>
      <protection locked="0"/>
    </xf>
    <xf numFmtId="41" fontId="0" fillId="2" borderId="1" xfId="1" applyFont="1" applyFill="1" applyBorder="1" applyAlignment="1" applyProtection="1">
      <alignment horizontal="left"/>
      <protection locked="0"/>
    </xf>
    <xf numFmtId="41" fontId="14" fillId="2" borderId="17" xfId="1" applyFont="1" applyFill="1" applyBorder="1" applyAlignment="1" applyProtection="1">
      <alignment horizontal="right" vertical="center"/>
      <protection hidden="1"/>
    </xf>
    <xf numFmtId="41" fontId="14" fillId="2" borderId="18" xfId="1" applyFont="1" applyFill="1" applyBorder="1" applyAlignment="1" applyProtection="1">
      <alignment horizontal="right" vertical="center"/>
      <protection hidden="1"/>
    </xf>
    <xf numFmtId="41" fontId="14" fillId="2" borderId="19" xfId="1" applyFont="1" applyFill="1" applyBorder="1" applyAlignment="1" applyProtection="1">
      <alignment horizontal="right" vertical="center"/>
      <protection hidden="1"/>
    </xf>
    <xf numFmtId="41" fontId="14" fillId="2" borderId="22" xfId="1" applyFont="1" applyFill="1" applyBorder="1" applyAlignment="1" applyProtection="1">
      <alignment horizontal="right" vertical="center"/>
      <protection hidden="1"/>
    </xf>
    <xf numFmtId="41" fontId="14" fillId="2" borderId="23" xfId="1" applyFont="1" applyFill="1" applyBorder="1" applyAlignment="1" applyProtection="1">
      <alignment horizontal="right" vertical="center"/>
      <protection hidden="1"/>
    </xf>
    <xf numFmtId="41" fontId="14" fillId="2" borderId="24" xfId="1" applyFont="1" applyFill="1" applyBorder="1" applyAlignment="1" applyProtection="1">
      <alignment horizontal="right" vertical="center"/>
      <protection hidden="1"/>
    </xf>
    <xf numFmtId="41" fontId="6" fillId="3" borderId="0" xfId="1" applyFont="1" applyFill="1" applyBorder="1" applyAlignment="1" applyProtection="1">
      <alignment horizontal="center" wrapText="1"/>
      <protection locked="0"/>
    </xf>
    <xf numFmtId="41" fontId="6" fillId="3" borderId="9" xfId="1" applyFont="1" applyFill="1" applyBorder="1" applyAlignment="1" applyProtection="1">
      <alignment horizontal="center" wrapText="1"/>
      <protection locked="0"/>
    </xf>
    <xf numFmtId="41" fontId="6" fillId="3" borderId="7" xfId="1" applyFont="1" applyFill="1" applyBorder="1" applyAlignment="1" applyProtection="1">
      <alignment horizontal="center" wrapText="1"/>
      <protection locked="0"/>
    </xf>
    <xf numFmtId="41" fontId="6" fillId="3" borderId="10" xfId="1" applyFont="1" applyFill="1" applyBorder="1" applyAlignment="1" applyProtection="1">
      <alignment horizontal="center" wrapText="1"/>
      <protection locked="0"/>
    </xf>
    <xf numFmtId="164" fontId="14" fillId="2" borderId="34" xfId="1" applyNumberFormat="1" applyFont="1" applyFill="1" applyBorder="1" applyAlignment="1" applyProtection="1">
      <alignment horizontal="center" vertical="center"/>
    </xf>
    <xf numFmtId="164" fontId="14" fillId="2" borderId="35" xfId="1" applyNumberFormat="1" applyFont="1" applyFill="1" applyBorder="1" applyAlignment="1" applyProtection="1">
      <alignment horizontal="center" vertical="center"/>
    </xf>
    <xf numFmtId="0" fontId="12" fillId="2" borderId="15" xfId="0" applyFont="1" applyFill="1" applyBorder="1" applyAlignment="1" applyProtection="1">
      <alignment horizontal="left"/>
      <protection locked="0"/>
    </xf>
    <xf numFmtId="0" fontId="12" fillId="2" borderId="16" xfId="0" applyFont="1" applyFill="1" applyBorder="1" applyAlignment="1" applyProtection="1">
      <alignment horizontal="left"/>
      <protection locked="0"/>
    </xf>
    <xf numFmtId="165" fontId="18" fillId="2" borderId="15" xfId="0" applyNumberFormat="1" applyFont="1" applyFill="1" applyBorder="1" applyAlignment="1" applyProtection="1">
      <alignment horizontal="left"/>
    </xf>
    <xf numFmtId="165" fontId="18" fillId="2" borderId="16" xfId="0" applyNumberFormat="1" applyFont="1" applyFill="1" applyBorder="1" applyAlignment="1" applyProtection="1">
      <alignment horizontal="left"/>
    </xf>
    <xf numFmtId="0" fontId="11" fillId="2" borderId="26" xfId="0" applyFont="1" applyFill="1" applyBorder="1" applyAlignment="1" applyProtection="1">
      <alignment horizontal="center"/>
      <protection locked="0"/>
    </xf>
    <xf numFmtId="0" fontId="11" fillId="2" borderId="27" xfId="0" applyFont="1" applyFill="1" applyBorder="1" applyAlignment="1" applyProtection="1">
      <alignment horizontal="center"/>
      <protection locked="0"/>
    </xf>
    <xf numFmtId="0" fontId="11" fillId="2" borderId="2" xfId="0" applyFont="1" applyFill="1" applyBorder="1" applyAlignment="1" applyProtection="1">
      <alignment horizontal="center"/>
      <protection locked="0"/>
    </xf>
    <xf numFmtId="0" fontId="11" fillId="2" borderId="6" xfId="0" applyFont="1" applyFill="1" applyBorder="1" applyAlignment="1" applyProtection="1">
      <alignment horizontal="center"/>
      <protection locked="0"/>
    </xf>
    <xf numFmtId="0" fontId="11" fillId="2" borderId="3" xfId="0" applyFont="1" applyFill="1" applyBorder="1" applyAlignment="1" applyProtection="1">
      <alignment horizontal="center"/>
      <protection locked="0"/>
    </xf>
    <xf numFmtId="0" fontId="11" fillId="2" borderId="29" xfId="0" applyFont="1" applyFill="1" applyBorder="1" applyAlignment="1" applyProtection="1">
      <alignment horizontal="center"/>
      <protection locked="0"/>
    </xf>
    <xf numFmtId="0" fontId="13" fillId="2" borderId="1" xfId="0" applyFont="1" applyFill="1" applyBorder="1" applyAlignment="1" applyProtection="1">
      <alignment horizontal="center"/>
      <protection locked="0"/>
    </xf>
    <xf numFmtId="0" fontId="13" fillId="2" borderId="30" xfId="0" applyFont="1" applyFill="1" applyBorder="1" applyAlignment="1" applyProtection="1">
      <alignment horizontal="center"/>
      <protection locked="0"/>
    </xf>
    <xf numFmtId="0" fontId="10" fillId="14" borderId="1" xfId="2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41" fontId="7" fillId="6" borderId="1" xfId="1" applyFont="1" applyFill="1" applyBorder="1" applyAlignment="1">
      <alignment horizontal="left" vertical="center"/>
    </xf>
  </cellXfs>
  <cellStyles count="3">
    <cellStyle name="Hipervínculo" xfId="2" builtinId="8"/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DEE3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www.gerencie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152401</xdr:colOff>
      <xdr:row>0</xdr:row>
      <xdr:rowOff>0</xdr:rowOff>
    </xdr:from>
    <xdr:to>
      <xdr:col>1</xdr:col>
      <xdr:colOff>1409701</xdr:colOff>
      <xdr:row>4</xdr:row>
      <xdr:rowOff>0</xdr:rowOff>
    </xdr:to>
    <xdr:pic>
      <xdr:nvPicPr>
        <xdr:cNvPr id="3" name="Imagen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86128F-FE54-40E9-88F8-D55680F81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0"/>
          <a:ext cx="1257300" cy="1257300"/>
        </a:xfrm>
        <a:prstGeom prst="rect">
          <a:avLst/>
        </a:prstGeom>
      </xdr:spPr>
    </xdr:pic>
    <xdr:clientData/>
  </xdr:twoCellAnchor>
  <xdr:oneCellAnchor>
    <xdr:from>
      <xdr:col>1</xdr:col>
      <xdr:colOff>1885950</xdr:colOff>
      <xdr:row>0</xdr:row>
      <xdr:rowOff>228600</xdr:rowOff>
    </xdr:from>
    <xdr:ext cx="2514022" cy="718530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CF9269A9-7108-4E79-81CA-8917D55BEB1D}"/>
            </a:ext>
          </a:extLst>
        </xdr:cNvPr>
        <xdr:cNvSpPr txBox="1"/>
      </xdr:nvSpPr>
      <xdr:spPr>
        <a:xfrm>
          <a:off x="1885950" y="228600"/>
          <a:ext cx="2514022" cy="7185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CO" sz="2000"/>
            <a:t>Formato para liquidar</a:t>
          </a:r>
        </a:p>
        <a:p>
          <a:r>
            <a:rPr lang="es-CO" sz="2000"/>
            <a:t> la nómina mensual.</a:t>
          </a:r>
        </a:p>
      </xdr:txBody>
    </xdr:sp>
    <xdr:clientData/>
  </xdr:oneCellAnchor>
  <xdr:oneCellAnchor>
    <xdr:from>
      <xdr:col>13</xdr:col>
      <xdr:colOff>190500</xdr:colOff>
      <xdr:row>23</xdr:row>
      <xdr:rowOff>161925</xdr:rowOff>
    </xdr:from>
    <xdr:ext cx="3829049" cy="3228975"/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63A2DB45-4621-4364-9641-49A5359FD17E}"/>
            </a:ext>
          </a:extLst>
        </xdr:cNvPr>
        <xdr:cNvSpPr txBox="1"/>
      </xdr:nvSpPr>
      <xdr:spPr>
        <a:xfrm>
          <a:off x="12096750" y="5419725"/>
          <a:ext cx="3829049" cy="3228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Debe diligenciar el salario mínimo, el auxilio de transporte y especificar si está o no exonerado del pago de aportes parafiscales. Consulte: </a:t>
          </a:r>
          <a:r>
            <a:rPr lang="es-CO" sz="1100" u="sng">
              <a:solidFill>
                <a:schemeClr val="tx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Exoneración de aportes a seguridad social y parafiscales</a:t>
          </a:r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 apropiaciones o provisiones de nómina se calculan automáticamente considerando si el empleador está o no exonerado del pago de aportes dependiendo del monto de salario según el artículo 114-1 del estatuto tributario.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Las horas extras, el recargo nocturno y el trabajado dominical o festivo se deben calcular manualmente en la hoja dispuesta para ello;</a:t>
          </a:r>
          <a:r>
            <a:rPr lang="es-CO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desde allí puede descargar un formato que le permite automatizar parte de ese proceso.</a:t>
          </a:r>
        </a:p>
        <a:p>
          <a:pPr lvl="0"/>
          <a:endParaRPr lang="es-CO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s-CO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Para el cálculo de las horas extras y demás elija al empleado que va a liquidar de la lista desplegable. Debe liquidar uno a uno a ingresar los datos manualmente en esta hoja.</a:t>
          </a:r>
        </a:p>
        <a:p>
          <a:endParaRPr lang="es-CO" sz="1100"/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erencie.com/horas-extras-y-recargos-nocturnos-dominicales-y-festivos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D5E5D-E9AD-479A-8391-42A8C9C4ED5B}">
  <sheetPr codeName="Hoja1">
    <tabColor theme="4" tint="-0.249977111117893"/>
  </sheetPr>
  <dimension ref="B1:Q40"/>
  <sheetViews>
    <sheetView tabSelected="1" workbookViewId="0">
      <selection activeCell="N7" sqref="N7"/>
    </sheetView>
  </sheetViews>
  <sheetFormatPr baseColWidth="10" defaultColWidth="18" defaultRowHeight="15" x14ac:dyDescent="0.25"/>
  <cols>
    <col min="1" max="1" width="2.140625" style="15" customWidth="1"/>
    <col min="2" max="2" width="38.28515625" style="15" bestFit="1" customWidth="1"/>
    <col min="3" max="3" width="14.28515625" style="15" customWidth="1"/>
    <col min="4" max="4" width="11.140625" style="15" customWidth="1"/>
    <col min="5" max="5" width="11.85546875" style="15" bestFit="1" customWidth="1"/>
    <col min="6" max="6" width="13.42578125" style="15" customWidth="1"/>
    <col min="7" max="7" width="13" style="15" customWidth="1"/>
    <col min="8" max="8" width="18" style="15" customWidth="1"/>
    <col min="9" max="9" width="10.42578125" style="15" bestFit="1" customWidth="1"/>
    <col min="10" max="10" width="11.5703125" style="15" bestFit="1" customWidth="1"/>
    <col min="11" max="12" width="10.5703125" style="15" bestFit="1" customWidth="1"/>
    <col min="13" max="13" width="13.28515625" style="15" customWidth="1"/>
    <col min="14" max="14" width="13.7109375" style="15" customWidth="1"/>
    <col min="15" max="15" width="14.140625" style="15" customWidth="1"/>
    <col min="16" max="16" width="14.7109375" style="15" customWidth="1"/>
    <col min="17" max="16384" width="18" style="15"/>
  </cols>
  <sheetData>
    <row r="1" spans="2:17" ht="24.95" customHeight="1" x14ac:dyDescent="0.25">
      <c r="B1" s="56"/>
      <c r="C1" s="57"/>
      <c r="D1" s="57"/>
      <c r="E1" s="57"/>
      <c r="F1" s="58"/>
      <c r="G1" s="66" t="s">
        <v>76</v>
      </c>
      <c r="H1" s="66"/>
      <c r="I1" s="66"/>
      <c r="J1" s="66"/>
      <c r="K1" s="67"/>
      <c r="L1" s="41"/>
      <c r="M1" s="41"/>
      <c r="N1" s="68"/>
      <c r="O1" s="42" t="s">
        <v>36</v>
      </c>
      <c r="P1" s="43"/>
      <c r="Q1" s="44"/>
    </row>
    <row r="2" spans="2:17" ht="24.95" customHeight="1" x14ac:dyDescent="0.25">
      <c r="B2" s="59"/>
      <c r="C2" s="60"/>
      <c r="D2" s="60"/>
      <c r="E2" s="60"/>
      <c r="F2" s="61"/>
      <c r="G2" s="65" t="s">
        <v>12</v>
      </c>
      <c r="H2" s="65"/>
      <c r="I2" s="65"/>
      <c r="J2" s="16">
        <v>828116</v>
      </c>
      <c r="K2" s="67"/>
      <c r="L2" s="41"/>
      <c r="M2" s="41"/>
      <c r="N2" s="68"/>
      <c r="O2" s="45" t="s">
        <v>37</v>
      </c>
      <c r="P2" s="46"/>
      <c r="Q2" s="47"/>
    </row>
    <row r="3" spans="2:17" ht="24.95" customHeight="1" x14ac:dyDescent="0.25">
      <c r="B3" s="59"/>
      <c r="C3" s="60"/>
      <c r="D3" s="60"/>
      <c r="E3" s="60"/>
      <c r="F3" s="61"/>
      <c r="G3" s="65" t="s">
        <v>13</v>
      </c>
      <c r="H3" s="65"/>
      <c r="I3" s="65"/>
      <c r="J3" s="16">
        <v>97032</v>
      </c>
      <c r="K3" s="67"/>
      <c r="L3" s="41"/>
      <c r="M3" s="41"/>
      <c r="N3" s="68"/>
      <c r="O3" s="48" t="s">
        <v>77</v>
      </c>
      <c r="P3" s="49"/>
      <c r="Q3" s="50"/>
    </row>
    <row r="4" spans="2:17" ht="24.95" customHeight="1" x14ac:dyDescent="0.25">
      <c r="B4" s="62"/>
      <c r="C4" s="63"/>
      <c r="D4" s="63"/>
      <c r="E4" s="63"/>
      <c r="F4" s="64"/>
      <c r="G4" s="65" t="s">
        <v>32</v>
      </c>
      <c r="H4" s="65"/>
      <c r="I4" s="65"/>
      <c r="J4" s="17" t="s">
        <v>31</v>
      </c>
      <c r="K4" s="67"/>
      <c r="L4" s="41"/>
      <c r="M4" s="41"/>
      <c r="N4" s="68"/>
      <c r="O4" s="51">
        <v>43615</v>
      </c>
      <c r="P4" s="52"/>
      <c r="Q4" s="53"/>
    </row>
    <row r="5" spans="2:17" ht="15" customHeight="1" x14ac:dyDescent="0.25">
      <c r="C5" s="69"/>
      <c r="D5" s="69"/>
      <c r="E5" s="69"/>
      <c r="F5" s="69"/>
      <c r="G5" s="69"/>
      <c r="H5" s="69"/>
      <c r="I5" s="69"/>
      <c r="J5" s="69"/>
      <c r="K5" s="41"/>
      <c r="L5" s="41"/>
      <c r="M5" s="41"/>
      <c r="N5" s="41"/>
      <c r="O5" s="41"/>
    </row>
    <row r="6" spans="2:17" x14ac:dyDescent="0.25">
      <c r="B6" s="72" t="s">
        <v>1</v>
      </c>
      <c r="C6" s="70" t="s">
        <v>33</v>
      </c>
      <c r="D6" s="70"/>
      <c r="E6" s="70"/>
      <c r="F6" s="70"/>
      <c r="G6" s="70"/>
      <c r="H6" s="70"/>
      <c r="I6" s="70"/>
      <c r="J6" s="70"/>
      <c r="K6" s="71" t="s">
        <v>34</v>
      </c>
      <c r="L6" s="71"/>
      <c r="M6" s="71"/>
      <c r="N6" s="71"/>
      <c r="O6" s="71"/>
      <c r="P6" s="54" t="s">
        <v>21</v>
      </c>
      <c r="Q6" s="54" t="s">
        <v>35</v>
      </c>
    </row>
    <row r="7" spans="2:17" s="21" customFormat="1" ht="45" x14ac:dyDescent="0.25">
      <c r="B7" s="72"/>
      <c r="C7" s="18" t="s">
        <v>0</v>
      </c>
      <c r="D7" s="18" t="s">
        <v>14</v>
      </c>
      <c r="E7" s="18" t="s">
        <v>15</v>
      </c>
      <c r="F7" s="18" t="s">
        <v>3</v>
      </c>
      <c r="G7" s="18" t="s">
        <v>4</v>
      </c>
      <c r="H7" s="18" t="s">
        <v>10</v>
      </c>
      <c r="I7" s="18" t="s">
        <v>2</v>
      </c>
      <c r="J7" s="18" t="s">
        <v>5</v>
      </c>
      <c r="K7" s="19" t="s">
        <v>6</v>
      </c>
      <c r="L7" s="19" t="s">
        <v>7</v>
      </c>
      <c r="M7" s="20" t="s">
        <v>11</v>
      </c>
      <c r="N7" s="20" t="s">
        <v>8</v>
      </c>
      <c r="O7" s="20" t="s">
        <v>20</v>
      </c>
      <c r="P7" s="54"/>
      <c r="Q7" s="55"/>
    </row>
    <row r="8" spans="2:17" x14ac:dyDescent="0.25">
      <c r="B8" s="22" t="s">
        <v>9</v>
      </c>
      <c r="C8" s="22">
        <v>2000000</v>
      </c>
      <c r="D8" s="22">
        <v>30</v>
      </c>
      <c r="E8" s="31">
        <f>(C8/30)*D8</f>
        <v>2000000.0000000002</v>
      </c>
      <c r="F8" s="22">
        <v>150000</v>
      </c>
      <c r="G8" s="22">
        <v>85000</v>
      </c>
      <c r="H8" s="31">
        <v>170000</v>
      </c>
      <c r="I8" s="31">
        <f t="shared" ref="I8:I22" si="0">IF(C8&gt;$J$2*2,0,($J$3/30*D8))</f>
        <v>0</v>
      </c>
      <c r="J8" s="31">
        <f>SUM(E8:I8)</f>
        <v>2405000</v>
      </c>
      <c r="K8" s="31">
        <f>(J8-I8)*0.04</f>
        <v>96200</v>
      </c>
      <c r="L8" s="31">
        <f>(J8-I8)*0.04</f>
        <v>96200</v>
      </c>
      <c r="M8" s="31">
        <f t="shared" ref="M8:M22" si="1">(J8-I8)*(IF(AND(((J8-I8)/$J$2)&gt;=4,((J8-I8)/$J$2)&lt;16),1,IF(AND(((J8-I8)/$J$2)&gt;=16,((J8-I8)/$J$2)&lt;=17),1.2,IF(AND(((J8-I8)/$J$2)&gt;17,((J8-I8)/$J$2)&lt;=18),1.4,IF(AND(((J8-I8)/$J$2)&gt;18,((J8-I8)/$J$2)&lt;=19),1.6,IF(AND(((J8-I8)/$J$2)&gt;19,((J8-I8)/$J$2)&lt;=20),1.8,IF(((J8-I8)/$J$2)&gt;20,2,0))))))/100)</f>
        <v>0</v>
      </c>
      <c r="N8" s="22">
        <v>0</v>
      </c>
      <c r="O8" s="22">
        <v>0</v>
      </c>
      <c r="P8" s="31">
        <f>J8-K8-L8-M8-N8-O8</f>
        <v>2212600</v>
      </c>
      <c r="Q8" s="22"/>
    </row>
    <row r="9" spans="2:17" x14ac:dyDescent="0.25">
      <c r="B9" s="22" t="s">
        <v>16</v>
      </c>
      <c r="C9" s="22">
        <v>6000000</v>
      </c>
      <c r="D9" s="22">
        <v>30</v>
      </c>
      <c r="E9" s="31">
        <f t="shared" ref="E9:E22" si="2">(C9/30)*D9</f>
        <v>6000000</v>
      </c>
      <c r="F9" s="22">
        <v>180000</v>
      </c>
      <c r="G9" s="22"/>
      <c r="H9" s="31"/>
      <c r="I9" s="31">
        <f t="shared" si="0"/>
        <v>0</v>
      </c>
      <c r="J9" s="31">
        <f t="shared" ref="J9:J22" si="3">SUM(E9:I9)</f>
        <v>6180000</v>
      </c>
      <c r="K9" s="31">
        <f t="shared" ref="K9:K22" si="4">(J9-I9)*0.04</f>
        <v>247200</v>
      </c>
      <c r="L9" s="31">
        <f t="shared" ref="L9:L22" si="5">(J9-I9)*0.04</f>
        <v>247200</v>
      </c>
      <c r="M9" s="31">
        <f t="shared" si="1"/>
        <v>61800</v>
      </c>
      <c r="N9" s="22"/>
      <c r="O9" s="22"/>
      <c r="P9" s="31">
        <f t="shared" ref="P9:P22" si="6">J9-K9-L9-M9-N9-O9</f>
        <v>5623800</v>
      </c>
      <c r="Q9" s="22"/>
    </row>
    <row r="10" spans="2:17" x14ac:dyDescent="0.25">
      <c r="B10" s="22" t="s">
        <v>30</v>
      </c>
      <c r="C10" s="22">
        <v>10000000</v>
      </c>
      <c r="D10" s="22">
        <v>30</v>
      </c>
      <c r="E10" s="31">
        <f t="shared" si="2"/>
        <v>10000000</v>
      </c>
      <c r="F10" s="22">
        <v>0</v>
      </c>
      <c r="G10" s="22"/>
      <c r="H10" s="31"/>
      <c r="I10" s="31">
        <f t="shared" si="0"/>
        <v>0</v>
      </c>
      <c r="J10" s="31">
        <f t="shared" si="3"/>
        <v>10000000</v>
      </c>
      <c r="K10" s="31">
        <f t="shared" si="4"/>
        <v>400000</v>
      </c>
      <c r="L10" s="31">
        <f t="shared" si="5"/>
        <v>400000</v>
      </c>
      <c r="M10" s="31">
        <f t="shared" si="1"/>
        <v>100000</v>
      </c>
      <c r="N10" s="22"/>
      <c r="O10" s="22"/>
      <c r="P10" s="31">
        <f t="shared" si="6"/>
        <v>9100000</v>
      </c>
      <c r="Q10" s="22"/>
    </row>
    <row r="11" spans="2:17" x14ac:dyDescent="0.25">
      <c r="B11" s="22" t="s">
        <v>57</v>
      </c>
      <c r="C11" s="22">
        <v>1400000</v>
      </c>
      <c r="D11" s="22">
        <v>30</v>
      </c>
      <c r="E11" s="31">
        <f t="shared" si="2"/>
        <v>1400000</v>
      </c>
      <c r="F11" s="22">
        <v>120000</v>
      </c>
      <c r="G11" s="22"/>
      <c r="H11" s="31"/>
      <c r="I11" s="31">
        <f t="shared" si="0"/>
        <v>97032</v>
      </c>
      <c r="J11" s="31">
        <f t="shared" si="3"/>
        <v>1617032</v>
      </c>
      <c r="K11" s="31">
        <f t="shared" si="4"/>
        <v>60800</v>
      </c>
      <c r="L11" s="31">
        <f t="shared" si="5"/>
        <v>60800</v>
      </c>
      <c r="M11" s="31">
        <f t="shared" si="1"/>
        <v>0</v>
      </c>
      <c r="N11" s="22"/>
      <c r="O11" s="22"/>
      <c r="P11" s="31">
        <f t="shared" si="6"/>
        <v>1495432</v>
      </c>
      <c r="Q11" s="22"/>
    </row>
    <row r="12" spans="2:17" x14ac:dyDescent="0.25">
      <c r="B12" s="22" t="s">
        <v>58</v>
      </c>
      <c r="C12" s="22">
        <v>1280000</v>
      </c>
      <c r="D12" s="22">
        <v>30</v>
      </c>
      <c r="E12" s="31">
        <f t="shared" si="2"/>
        <v>1280000</v>
      </c>
      <c r="F12" s="22">
        <v>0</v>
      </c>
      <c r="G12" s="22"/>
      <c r="H12" s="31"/>
      <c r="I12" s="31">
        <f t="shared" si="0"/>
        <v>97032</v>
      </c>
      <c r="J12" s="31">
        <f t="shared" si="3"/>
        <v>1377032</v>
      </c>
      <c r="K12" s="31">
        <f t="shared" si="4"/>
        <v>51200</v>
      </c>
      <c r="L12" s="31">
        <f t="shared" si="5"/>
        <v>51200</v>
      </c>
      <c r="M12" s="31">
        <f t="shared" si="1"/>
        <v>0</v>
      </c>
      <c r="N12" s="22"/>
      <c r="O12" s="22"/>
      <c r="P12" s="31">
        <f t="shared" si="6"/>
        <v>1274632</v>
      </c>
      <c r="Q12" s="22"/>
    </row>
    <row r="13" spans="2:17" x14ac:dyDescent="0.25">
      <c r="B13" s="22" t="s">
        <v>59</v>
      </c>
      <c r="C13" s="22">
        <v>1600000</v>
      </c>
      <c r="D13" s="22">
        <v>15</v>
      </c>
      <c r="E13" s="31">
        <f t="shared" si="2"/>
        <v>800000</v>
      </c>
      <c r="F13" s="22">
        <v>0</v>
      </c>
      <c r="G13" s="22"/>
      <c r="H13" s="31"/>
      <c r="I13" s="31">
        <f t="shared" si="0"/>
        <v>48516</v>
      </c>
      <c r="J13" s="31">
        <f t="shared" si="3"/>
        <v>848516</v>
      </c>
      <c r="K13" s="31">
        <f t="shared" si="4"/>
        <v>32000</v>
      </c>
      <c r="L13" s="31">
        <f t="shared" si="5"/>
        <v>32000</v>
      </c>
      <c r="M13" s="31">
        <f t="shared" si="1"/>
        <v>0</v>
      </c>
      <c r="N13" s="22"/>
      <c r="O13" s="22"/>
      <c r="P13" s="31">
        <f t="shared" si="6"/>
        <v>784516</v>
      </c>
      <c r="Q13" s="22"/>
    </row>
    <row r="14" spans="2:17" x14ac:dyDescent="0.25">
      <c r="B14" s="22" t="s">
        <v>60</v>
      </c>
      <c r="C14" s="22">
        <v>900000</v>
      </c>
      <c r="D14" s="22">
        <v>30</v>
      </c>
      <c r="E14" s="31">
        <f t="shared" si="2"/>
        <v>900000</v>
      </c>
      <c r="F14" s="22">
        <v>0</v>
      </c>
      <c r="G14" s="22"/>
      <c r="H14" s="31"/>
      <c r="I14" s="31">
        <f t="shared" si="0"/>
        <v>97032</v>
      </c>
      <c r="J14" s="31">
        <f t="shared" si="3"/>
        <v>997032</v>
      </c>
      <c r="K14" s="31">
        <f t="shared" si="4"/>
        <v>36000</v>
      </c>
      <c r="L14" s="31">
        <f t="shared" si="5"/>
        <v>36000</v>
      </c>
      <c r="M14" s="31">
        <f t="shared" si="1"/>
        <v>0</v>
      </c>
      <c r="N14" s="22"/>
      <c r="O14" s="22"/>
      <c r="P14" s="31">
        <f t="shared" si="6"/>
        <v>925032</v>
      </c>
      <c r="Q14" s="22"/>
    </row>
    <row r="15" spans="2:17" x14ac:dyDescent="0.25">
      <c r="B15" s="22" t="s">
        <v>61</v>
      </c>
      <c r="C15" s="22">
        <v>900000</v>
      </c>
      <c r="D15" s="22">
        <v>30</v>
      </c>
      <c r="E15" s="31">
        <f t="shared" si="2"/>
        <v>900000</v>
      </c>
      <c r="F15" s="22">
        <v>0</v>
      </c>
      <c r="G15" s="22"/>
      <c r="H15" s="31"/>
      <c r="I15" s="31">
        <f t="shared" si="0"/>
        <v>97032</v>
      </c>
      <c r="J15" s="31">
        <f t="shared" si="3"/>
        <v>997032</v>
      </c>
      <c r="K15" s="31">
        <f t="shared" si="4"/>
        <v>36000</v>
      </c>
      <c r="L15" s="31">
        <f t="shared" si="5"/>
        <v>36000</v>
      </c>
      <c r="M15" s="31">
        <f t="shared" si="1"/>
        <v>0</v>
      </c>
      <c r="N15" s="22"/>
      <c r="O15" s="22"/>
      <c r="P15" s="31">
        <f t="shared" si="6"/>
        <v>925032</v>
      </c>
      <c r="Q15" s="22"/>
    </row>
    <row r="16" spans="2:17" x14ac:dyDescent="0.25">
      <c r="B16" s="22" t="s">
        <v>62</v>
      </c>
      <c r="C16" s="22">
        <v>900000</v>
      </c>
      <c r="D16" s="22">
        <v>30</v>
      </c>
      <c r="E16" s="31">
        <f t="shared" si="2"/>
        <v>900000</v>
      </c>
      <c r="F16" s="22">
        <v>130000</v>
      </c>
      <c r="G16" s="22"/>
      <c r="H16" s="31"/>
      <c r="I16" s="31">
        <f t="shared" si="0"/>
        <v>97032</v>
      </c>
      <c r="J16" s="31">
        <f t="shared" si="3"/>
        <v>1127032</v>
      </c>
      <c r="K16" s="31">
        <f t="shared" si="4"/>
        <v>41200</v>
      </c>
      <c r="L16" s="31">
        <f t="shared" si="5"/>
        <v>41200</v>
      </c>
      <c r="M16" s="31">
        <f t="shared" si="1"/>
        <v>0</v>
      </c>
      <c r="N16" s="22"/>
      <c r="O16" s="22"/>
      <c r="P16" s="31">
        <f t="shared" si="6"/>
        <v>1044632</v>
      </c>
      <c r="Q16" s="22"/>
    </row>
    <row r="17" spans="2:17" x14ac:dyDescent="0.25">
      <c r="B17" s="22" t="s">
        <v>63</v>
      </c>
      <c r="C17" s="22">
        <v>900000</v>
      </c>
      <c r="D17" s="22">
        <v>20</v>
      </c>
      <c r="E17" s="31">
        <f t="shared" si="2"/>
        <v>600000</v>
      </c>
      <c r="F17" s="22">
        <v>0</v>
      </c>
      <c r="G17" s="22"/>
      <c r="H17" s="31"/>
      <c r="I17" s="31">
        <f t="shared" si="0"/>
        <v>64688</v>
      </c>
      <c r="J17" s="31">
        <f t="shared" si="3"/>
        <v>664688</v>
      </c>
      <c r="K17" s="31">
        <f t="shared" si="4"/>
        <v>24000</v>
      </c>
      <c r="L17" s="31">
        <f t="shared" si="5"/>
        <v>24000</v>
      </c>
      <c r="M17" s="31">
        <f t="shared" si="1"/>
        <v>0</v>
      </c>
      <c r="N17" s="22"/>
      <c r="O17" s="22"/>
      <c r="P17" s="31">
        <f t="shared" si="6"/>
        <v>616688</v>
      </c>
      <c r="Q17" s="22"/>
    </row>
    <row r="18" spans="2:17" x14ac:dyDescent="0.25">
      <c r="B18" s="22" t="s">
        <v>64</v>
      </c>
      <c r="C18" s="22">
        <v>10000000</v>
      </c>
      <c r="D18" s="22">
        <v>30</v>
      </c>
      <c r="E18" s="31">
        <f t="shared" si="2"/>
        <v>10000000</v>
      </c>
      <c r="F18" s="22">
        <v>0</v>
      </c>
      <c r="G18" s="22"/>
      <c r="H18" s="31"/>
      <c r="I18" s="31">
        <f t="shared" si="0"/>
        <v>0</v>
      </c>
      <c r="J18" s="31">
        <f t="shared" si="3"/>
        <v>10000000</v>
      </c>
      <c r="K18" s="31">
        <f t="shared" si="4"/>
        <v>400000</v>
      </c>
      <c r="L18" s="31">
        <f t="shared" si="5"/>
        <v>400000</v>
      </c>
      <c r="M18" s="31">
        <f t="shared" si="1"/>
        <v>100000</v>
      </c>
      <c r="N18" s="22"/>
      <c r="O18" s="22"/>
      <c r="P18" s="31">
        <f t="shared" si="6"/>
        <v>9100000</v>
      </c>
      <c r="Q18" s="22"/>
    </row>
    <row r="19" spans="2:17" x14ac:dyDescent="0.25">
      <c r="B19" s="22" t="s">
        <v>65</v>
      </c>
      <c r="C19" s="22">
        <v>1000000</v>
      </c>
      <c r="D19" s="22">
        <v>30</v>
      </c>
      <c r="E19" s="31">
        <f t="shared" si="2"/>
        <v>1000000.0000000001</v>
      </c>
      <c r="F19" s="22">
        <v>210000</v>
      </c>
      <c r="G19" s="22"/>
      <c r="H19" s="31"/>
      <c r="I19" s="31">
        <f t="shared" si="0"/>
        <v>97032</v>
      </c>
      <c r="J19" s="31">
        <f t="shared" si="3"/>
        <v>1307032</v>
      </c>
      <c r="K19" s="31">
        <f t="shared" si="4"/>
        <v>48400</v>
      </c>
      <c r="L19" s="31">
        <f t="shared" si="5"/>
        <v>48400</v>
      </c>
      <c r="M19" s="31">
        <f t="shared" si="1"/>
        <v>0</v>
      </c>
      <c r="N19" s="22"/>
      <c r="O19" s="22"/>
      <c r="P19" s="31">
        <f t="shared" si="6"/>
        <v>1210232</v>
      </c>
      <c r="Q19" s="22"/>
    </row>
    <row r="20" spans="2:17" x14ac:dyDescent="0.25">
      <c r="B20" s="22" t="s">
        <v>66</v>
      </c>
      <c r="C20" s="22">
        <v>1000000</v>
      </c>
      <c r="D20" s="22">
        <v>30</v>
      </c>
      <c r="E20" s="31">
        <f t="shared" si="2"/>
        <v>1000000.0000000001</v>
      </c>
      <c r="F20" s="22">
        <v>0</v>
      </c>
      <c r="G20" s="22"/>
      <c r="H20" s="31"/>
      <c r="I20" s="31">
        <f t="shared" si="0"/>
        <v>97032</v>
      </c>
      <c r="J20" s="31">
        <f t="shared" si="3"/>
        <v>1097032</v>
      </c>
      <c r="K20" s="31">
        <f t="shared" si="4"/>
        <v>40000</v>
      </c>
      <c r="L20" s="31">
        <f t="shared" si="5"/>
        <v>40000</v>
      </c>
      <c r="M20" s="31">
        <f t="shared" si="1"/>
        <v>0</v>
      </c>
      <c r="N20" s="22"/>
      <c r="O20" s="22"/>
      <c r="P20" s="31">
        <f t="shared" si="6"/>
        <v>1017032</v>
      </c>
      <c r="Q20" s="22"/>
    </row>
    <row r="21" spans="2:17" x14ac:dyDescent="0.25">
      <c r="B21" s="22" t="s">
        <v>67</v>
      </c>
      <c r="C21" s="22">
        <v>1000000</v>
      </c>
      <c r="D21" s="22">
        <v>30</v>
      </c>
      <c r="E21" s="31">
        <f t="shared" si="2"/>
        <v>1000000.0000000001</v>
      </c>
      <c r="F21" s="22">
        <v>0</v>
      </c>
      <c r="G21" s="22"/>
      <c r="H21" s="31"/>
      <c r="I21" s="31">
        <f t="shared" si="0"/>
        <v>97032</v>
      </c>
      <c r="J21" s="31">
        <f t="shared" si="3"/>
        <v>1097032</v>
      </c>
      <c r="K21" s="31">
        <f t="shared" si="4"/>
        <v>40000</v>
      </c>
      <c r="L21" s="31">
        <f t="shared" si="5"/>
        <v>40000</v>
      </c>
      <c r="M21" s="31">
        <f t="shared" si="1"/>
        <v>0</v>
      </c>
      <c r="N21" s="22"/>
      <c r="O21" s="22"/>
      <c r="P21" s="31">
        <f t="shared" si="6"/>
        <v>1017032</v>
      </c>
      <c r="Q21" s="22"/>
    </row>
    <row r="22" spans="2:17" x14ac:dyDescent="0.25">
      <c r="B22" s="23" t="s">
        <v>68</v>
      </c>
      <c r="C22" s="23">
        <v>1000000</v>
      </c>
      <c r="D22" s="23">
        <v>10</v>
      </c>
      <c r="E22" s="32">
        <f t="shared" si="2"/>
        <v>333333.33333333337</v>
      </c>
      <c r="F22" s="23">
        <v>60000</v>
      </c>
      <c r="G22" s="23"/>
      <c r="H22" s="32"/>
      <c r="I22" s="32">
        <f t="shared" si="0"/>
        <v>32344</v>
      </c>
      <c r="J22" s="32">
        <f t="shared" si="3"/>
        <v>425677.33333333337</v>
      </c>
      <c r="K22" s="31">
        <f t="shared" si="4"/>
        <v>15733.333333333336</v>
      </c>
      <c r="L22" s="31">
        <f t="shared" si="5"/>
        <v>15733.333333333336</v>
      </c>
      <c r="M22" s="32">
        <f t="shared" si="1"/>
        <v>0</v>
      </c>
      <c r="N22" s="23"/>
      <c r="O22" s="23"/>
      <c r="P22" s="31">
        <f t="shared" si="6"/>
        <v>394210.66666666674</v>
      </c>
      <c r="Q22" s="23"/>
    </row>
    <row r="23" spans="2:17" s="25" customFormat="1" x14ac:dyDescent="0.25">
      <c r="B23" s="38" t="s">
        <v>29</v>
      </c>
      <c r="C23" s="39"/>
      <c r="D23" s="40"/>
      <c r="E23" s="33">
        <f>SUM(E8:E22)</f>
        <v>38113333.333333336</v>
      </c>
      <c r="F23" s="33">
        <f t="shared" ref="F23:O23" si="7">SUM(F8:F22)</f>
        <v>850000</v>
      </c>
      <c r="G23" s="33">
        <f t="shared" si="7"/>
        <v>85000</v>
      </c>
      <c r="H23" s="33">
        <f t="shared" si="7"/>
        <v>170000</v>
      </c>
      <c r="I23" s="33">
        <f t="shared" si="7"/>
        <v>921804</v>
      </c>
      <c r="J23" s="33">
        <f t="shared" si="7"/>
        <v>40140137.333333336</v>
      </c>
      <c r="K23" s="33">
        <f t="shared" si="7"/>
        <v>1568733.3333333333</v>
      </c>
      <c r="L23" s="33">
        <f t="shared" si="7"/>
        <v>1568733.3333333333</v>
      </c>
      <c r="M23" s="33">
        <f t="shared" si="7"/>
        <v>261800</v>
      </c>
      <c r="N23" s="33">
        <f t="shared" si="7"/>
        <v>0</v>
      </c>
      <c r="O23" s="33">
        <f t="shared" si="7"/>
        <v>0</v>
      </c>
      <c r="P23" s="33">
        <f>SUM(P8:P22)</f>
        <v>36740870.666666664</v>
      </c>
      <c r="Q23" s="24"/>
    </row>
    <row r="24" spans="2:17" ht="15.75" thickBot="1" x14ac:dyDescent="0.3"/>
    <row r="25" spans="2:17" ht="15" customHeight="1" x14ac:dyDescent="0.25">
      <c r="B25" s="97">
        <f>ROUND(P23,0)</f>
        <v>36740871</v>
      </c>
      <c r="D25" s="87" t="str">
        <f>LETRAS(B25)</f>
        <v>Treinta y Seis Millones Setecientos Cuarenta Mil Ochocientos Setenta y Un Pesos</v>
      </c>
      <c r="E25" s="88"/>
      <c r="F25" s="88"/>
      <c r="G25" s="88"/>
      <c r="H25" s="88"/>
      <c r="I25" s="88"/>
      <c r="J25" s="88"/>
      <c r="K25" s="88"/>
      <c r="L25" s="88"/>
      <c r="M25" s="89"/>
    </row>
    <row r="26" spans="2:17" ht="15.75" customHeight="1" thickBot="1" x14ac:dyDescent="0.3">
      <c r="B26" s="98"/>
      <c r="D26" s="90"/>
      <c r="E26" s="91"/>
      <c r="F26" s="91"/>
      <c r="G26" s="91"/>
      <c r="H26" s="91"/>
      <c r="I26" s="91"/>
      <c r="J26" s="91"/>
      <c r="K26" s="91"/>
      <c r="L26" s="91"/>
      <c r="M26" s="92"/>
    </row>
    <row r="27" spans="2:17" ht="15.75" thickBot="1" x14ac:dyDescent="0.3">
      <c r="J27" s="26"/>
    </row>
    <row r="28" spans="2:17" ht="17.25" customHeight="1" thickBot="1" x14ac:dyDescent="0.35">
      <c r="B28" s="27" t="s">
        <v>69</v>
      </c>
      <c r="C28" s="99"/>
      <c r="D28" s="99"/>
      <c r="E28" s="99"/>
      <c r="F28" s="99"/>
      <c r="G28" s="99"/>
      <c r="H28" s="100"/>
      <c r="J28" s="93" t="s">
        <v>75</v>
      </c>
      <c r="K28" s="93"/>
      <c r="L28" s="93"/>
      <c r="M28" s="94"/>
    </row>
    <row r="29" spans="2:17" ht="15.75" customHeight="1" thickBot="1" x14ac:dyDescent="0.3">
      <c r="B29" s="28"/>
      <c r="C29" s="28"/>
      <c r="D29" s="28"/>
      <c r="E29" s="28"/>
      <c r="F29" s="28"/>
      <c r="G29" s="28"/>
      <c r="H29" s="28"/>
      <c r="J29" s="95"/>
      <c r="K29" s="95"/>
      <c r="L29" s="95"/>
      <c r="M29" s="96"/>
    </row>
    <row r="30" spans="2:17" ht="17.25" thickBot="1" x14ac:dyDescent="0.35">
      <c r="B30" s="27" t="s">
        <v>78</v>
      </c>
      <c r="C30" s="101">
        <f>O4</f>
        <v>43615</v>
      </c>
      <c r="D30" s="101"/>
      <c r="E30" s="101"/>
      <c r="F30" s="101"/>
      <c r="G30" s="101"/>
      <c r="H30" s="102"/>
      <c r="J30" s="83" t="s">
        <v>22</v>
      </c>
      <c r="K30" s="83"/>
      <c r="L30" s="83"/>
      <c r="M30" s="31">
        <f>(J23-I23)*0.12</f>
        <v>4706200</v>
      </c>
    </row>
    <row r="31" spans="2:17" ht="15.75" thickBot="1" x14ac:dyDescent="0.3">
      <c r="B31" s="28"/>
      <c r="C31" s="28"/>
      <c r="D31" s="28"/>
      <c r="E31" s="28"/>
      <c r="F31" s="28"/>
      <c r="G31" s="28"/>
      <c r="H31" s="28"/>
      <c r="J31" s="83" t="s">
        <v>23</v>
      </c>
      <c r="K31" s="83"/>
      <c r="L31" s="83"/>
      <c r="M31" s="31">
        <f>IF(J4="Si",(SUMIF(J8:J22,"&gt;"&amp;J2*10,J8:J22))*0.085,(J23-I23)*0.085)</f>
        <v>1700000.0000000002</v>
      </c>
    </row>
    <row r="32" spans="2:17" x14ac:dyDescent="0.25">
      <c r="B32" s="12" t="s">
        <v>73</v>
      </c>
      <c r="C32" s="75"/>
      <c r="D32" s="75"/>
      <c r="E32" s="75"/>
      <c r="F32" s="75"/>
      <c r="G32" s="75"/>
      <c r="H32" s="76"/>
      <c r="J32" s="83" t="s">
        <v>24</v>
      </c>
      <c r="K32" s="83"/>
      <c r="L32" s="83"/>
      <c r="M32" s="31">
        <f>(J23-I23)*0.00522</f>
        <v>204719.7</v>
      </c>
    </row>
    <row r="33" spans="2:13" x14ac:dyDescent="0.25">
      <c r="B33" s="84"/>
      <c r="C33" s="77"/>
      <c r="D33" s="77"/>
      <c r="E33" s="77"/>
      <c r="F33" s="77"/>
      <c r="G33" s="77"/>
      <c r="H33" s="78"/>
      <c r="J33" s="79" t="s">
        <v>17</v>
      </c>
      <c r="K33" s="80"/>
      <c r="L33" s="81"/>
      <c r="M33" s="31">
        <f>IF(J4="Si",(SUMIF(J8:J22,"&gt;"&amp;J2*10,J8:J22))*0.02,(J23-I23)*0.02)</f>
        <v>400000</v>
      </c>
    </row>
    <row r="34" spans="2:13" x14ac:dyDescent="0.25">
      <c r="B34" s="84"/>
      <c r="C34" s="77"/>
      <c r="D34" s="77"/>
      <c r="E34" s="77"/>
      <c r="F34" s="77"/>
      <c r="G34" s="77"/>
      <c r="H34" s="78"/>
      <c r="J34" s="79" t="s">
        <v>18</v>
      </c>
      <c r="K34" s="80"/>
      <c r="L34" s="81"/>
      <c r="M34" s="31">
        <f>IF(J4="Si",(SUMIF(J8:J22,"&gt;"&amp;J2*10,J8:J22))*0.03,(J23-I23)*0.03)</f>
        <v>600000</v>
      </c>
    </row>
    <row r="35" spans="2:13" x14ac:dyDescent="0.25">
      <c r="B35" s="84"/>
      <c r="C35" s="77"/>
      <c r="D35" s="77"/>
      <c r="E35" s="77"/>
      <c r="F35" s="77"/>
      <c r="G35" s="77"/>
      <c r="H35" s="78"/>
      <c r="J35" s="34" t="s">
        <v>19</v>
      </c>
      <c r="K35" s="34"/>
      <c r="L35" s="34"/>
      <c r="M35" s="31">
        <f>(J23-I23)*0.04</f>
        <v>1568733.3333333335</v>
      </c>
    </row>
    <row r="36" spans="2:13" ht="15.75" thickBot="1" x14ac:dyDescent="0.3">
      <c r="B36" s="85"/>
      <c r="C36" s="36"/>
      <c r="D36" s="36"/>
      <c r="E36" s="36"/>
      <c r="F36" s="36"/>
      <c r="G36" s="36"/>
      <c r="H36" s="37"/>
      <c r="J36" s="79" t="s">
        <v>25</v>
      </c>
      <c r="K36" s="80"/>
      <c r="L36" s="81"/>
      <c r="M36" s="31">
        <f>J23*0.0833</f>
        <v>3343673.4398666667</v>
      </c>
    </row>
    <row r="37" spans="2:13" ht="16.5" x14ac:dyDescent="0.3">
      <c r="B37" s="29" t="s">
        <v>70</v>
      </c>
      <c r="C37" s="103" t="s">
        <v>71</v>
      </c>
      <c r="D37" s="103"/>
      <c r="E37" s="103"/>
      <c r="F37" s="103"/>
      <c r="G37" s="103" t="s">
        <v>72</v>
      </c>
      <c r="H37" s="104"/>
      <c r="J37" s="79" t="s">
        <v>26</v>
      </c>
      <c r="K37" s="80"/>
      <c r="L37" s="81"/>
      <c r="M37" s="31">
        <f>J23*0.0833</f>
        <v>3343673.4398666667</v>
      </c>
    </row>
    <row r="38" spans="2:13" ht="16.5" x14ac:dyDescent="0.3">
      <c r="B38" s="30"/>
      <c r="C38" s="105"/>
      <c r="D38" s="106"/>
      <c r="E38" s="106"/>
      <c r="F38" s="107"/>
      <c r="G38" s="105"/>
      <c r="H38" s="108"/>
      <c r="J38" s="34" t="s">
        <v>27</v>
      </c>
      <c r="K38" s="34"/>
      <c r="L38" s="34"/>
      <c r="M38" s="31">
        <f>M37*0.12</f>
        <v>401240.81278400001</v>
      </c>
    </row>
    <row r="39" spans="2:13" x14ac:dyDescent="0.25">
      <c r="B39" s="10"/>
      <c r="C39" s="109"/>
      <c r="D39" s="109"/>
      <c r="E39" s="109"/>
      <c r="F39" s="109"/>
      <c r="G39" s="109"/>
      <c r="H39" s="110"/>
      <c r="J39" s="86" t="s">
        <v>28</v>
      </c>
      <c r="K39" s="86"/>
      <c r="L39" s="86"/>
      <c r="M39" s="31">
        <f>(J23-F23-H23-I23)*0.0417</f>
        <v>1592870.5000000002</v>
      </c>
    </row>
    <row r="40" spans="2:13" ht="15.75" thickBot="1" x14ac:dyDescent="0.3">
      <c r="B40" s="11"/>
      <c r="C40" s="73"/>
      <c r="D40" s="73"/>
      <c r="E40" s="73"/>
      <c r="F40" s="73"/>
      <c r="G40" s="73"/>
      <c r="H40" s="74"/>
      <c r="J40" s="82" t="s">
        <v>74</v>
      </c>
      <c r="K40" s="82"/>
      <c r="L40" s="82"/>
      <c r="M40" s="35">
        <f>SUM(M30:M39)</f>
        <v>17861111.225850668</v>
      </c>
    </row>
  </sheetData>
  <sheetProtection sheet="1" objects="1" scenarios="1"/>
  <mergeCells count="42">
    <mergeCell ref="C38:F38"/>
    <mergeCell ref="G38:H38"/>
    <mergeCell ref="C39:F39"/>
    <mergeCell ref="G39:H39"/>
    <mergeCell ref="J33:L33"/>
    <mergeCell ref="B25:B26"/>
    <mergeCell ref="C28:H28"/>
    <mergeCell ref="C30:H30"/>
    <mergeCell ref="C37:F37"/>
    <mergeCell ref="G37:H37"/>
    <mergeCell ref="K6:O6"/>
    <mergeCell ref="B6:B7"/>
    <mergeCell ref="C40:F40"/>
    <mergeCell ref="G40:H40"/>
    <mergeCell ref="C32:H35"/>
    <mergeCell ref="J36:L36"/>
    <mergeCell ref="J37:L37"/>
    <mergeCell ref="J40:L40"/>
    <mergeCell ref="J30:L30"/>
    <mergeCell ref="J31:L31"/>
    <mergeCell ref="J32:L32"/>
    <mergeCell ref="J34:L34"/>
    <mergeCell ref="B33:B36"/>
    <mergeCell ref="J39:L39"/>
    <mergeCell ref="D25:M26"/>
    <mergeCell ref="J28:M29"/>
    <mergeCell ref="B23:D23"/>
    <mergeCell ref="K5:O5"/>
    <mergeCell ref="O1:Q1"/>
    <mergeCell ref="O2:Q2"/>
    <mergeCell ref="O3:Q3"/>
    <mergeCell ref="O4:Q4"/>
    <mergeCell ref="P6:P7"/>
    <mergeCell ref="Q6:Q7"/>
    <mergeCell ref="B1:F4"/>
    <mergeCell ref="G2:I2"/>
    <mergeCell ref="G3:I3"/>
    <mergeCell ref="G1:J1"/>
    <mergeCell ref="G4:I4"/>
    <mergeCell ref="K1:N4"/>
    <mergeCell ref="C5:J5"/>
    <mergeCell ref="C6:J6"/>
  </mergeCells>
  <dataValidations count="2">
    <dataValidation type="list" allowBlank="1" showInputMessage="1" showErrorMessage="1" sqref="J4" xr:uid="{C8D9B5E6-3D05-497C-BF12-F478A9FCE7A2}">
      <formula1>"Si,No"</formula1>
    </dataValidation>
    <dataValidation type="list" allowBlank="1" showInputMessage="1" showErrorMessage="1" sqref="D8:D22" xr:uid="{CDB3B9F4-75E9-4941-8B05-6DDE1AFBF86C}">
      <formula1>"0,1,2,3,4,5,6,7,8,9,10,11,12,13,14,15,16,17,18,19,20,21,22,23,24,25,26,27,28,29,30"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D4FF-8C57-4300-BE0B-371F90EE064C}">
  <sheetPr codeName="Hoja2">
    <tabColor theme="8" tint="-0.249977111117893"/>
  </sheetPr>
  <dimension ref="B1:G12"/>
  <sheetViews>
    <sheetView workbookViewId="0">
      <selection activeCell="C2" sqref="C2"/>
    </sheetView>
  </sheetViews>
  <sheetFormatPr baseColWidth="10" defaultRowHeight="15" x14ac:dyDescent="0.25"/>
  <cols>
    <col min="1" max="1" width="11.42578125" style="1"/>
    <col min="2" max="2" width="37.42578125" style="1" bestFit="1" customWidth="1"/>
    <col min="3" max="3" width="20.42578125" style="1" bestFit="1" customWidth="1"/>
    <col min="4" max="4" width="11.42578125" style="1"/>
    <col min="5" max="5" width="28" style="1" bestFit="1" customWidth="1"/>
    <col min="6" max="6" width="32.85546875" style="1" bestFit="1" customWidth="1"/>
    <col min="7" max="16384" width="11.42578125" style="1"/>
  </cols>
  <sheetData>
    <row r="1" spans="2:7" ht="30" customHeight="1" x14ac:dyDescent="0.25">
      <c r="B1" s="112" t="s">
        <v>44</v>
      </c>
      <c r="C1" s="112"/>
      <c r="D1" s="112"/>
      <c r="E1" s="112"/>
      <c r="F1" s="112"/>
      <c r="G1" s="112"/>
    </row>
    <row r="2" spans="2:7" ht="18" customHeight="1" x14ac:dyDescent="0.3">
      <c r="B2" s="7" t="s">
        <v>54</v>
      </c>
      <c r="C2" s="13" t="s">
        <v>62</v>
      </c>
      <c r="D2" s="4" t="s">
        <v>48</v>
      </c>
      <c r="E2" s="5" t="str">
        <f>C2</f>
        <v>Cleopatra</v>
      </c>
      <c r="F2" s="113">
        <f>VLOOKUP(E2,Nómina!B8:C22,2,0)</f>
        <v>900000</v>
      </c>
      <c r="G2" s="113"/>
    </row>
    <row r="3" spans="2:7" x14ac:dyDescent="0.25">
      <c r="B3" s="6" t="s">
        <v>45</v>
      </c>
      <c r="C3" s="6" t="s">
        <v>50</v>
      </c>
      <c r="D3" s="6" t="s">
        <v>46</v>
      </c>
      <c r="E3" s="6" t="s">
        <v>49</v>
      </c>
      <c r="F3" s="6" t="s">
        <v>55</v>
      </c>
      <c r="G3" s="6" t="s">
        <v>47</v>
      </c>
    </row>
    <row r="4" spans="2:7" x14ac:dyDescent="0.25">
      <c r="B4" s="2" t="s">
        <v>38</v>
      </c>
      <c r="C4" s="2">
        <v>0.35</v>
      </c>
      <c r="D4" s="2">
        <v>1.35</v>
      </c>
      <c r="E4" s="3">
        <f>($F$2/240)*D4</f>
        <v>5062.5</v>
      </c>
      <c r="F4" s="14">
        <v>2</v>
      </c>
      <c r="G4" s="3">
        <f>E4*F4</f>
        <v>10125</v>
      </c>
    </row>
    <row r="5" spans="2:7" x14ac:dyDescent="0.25">
      <c r="B5" s="2" t="s">
        <v>39</v>
      </c>
      <c r="C5" s="2">
        <v>0.25</v>
      </c>
      <c r="D5" s="2">
        <v>1.25</v>
      </c>
      <c r="E5" s="3">
        <f t="shared" ref="E5:E9" si="0">($F$2/240)*C5</f>
        <v>937.5</v>
      </c>
      <c r="F5" s="14">
        <v>5</v>
      </c>
      <c r="G5" s="3">
        <f t="shared" ref="G5:G9" si="1">E5*F5</f>
        <v>4687.5</v>
      </c>
    </row>
    <row r="6" spans="2:7" x14ac:dyDescent="0.25">
      <c r="B6" s="2" t="s">
        <v>40</v>
      </c>
      <c r="C6" s="2">
        <v>0.75</v>
      </c>
      <c r="D6" s="2">
        <v>1.75</v>
      </c>
      <c r="E6" s="3">
        <f t="shared" si="0"/>
        <v>2812.5</v>
      </c>
      <c r="F6" s="14">
        <v>2</v>
      </c>
      <c r="G6" s="3">
        <f t="shared" si="1"/>
        <v>5625</v>
      </c>
    </row>
    <row r="7" spans="2:7" x14ac:dyDescent="0.25">
      <c r="B7" s="2" t="s">
        <v>41</v>
      </c>
      <c r="C7" s="2">
        <v>0.75</v>
      </c>
      <c r="D7" s="2">
        <v>1.75</v>
      </c>
      <c r="E7" s="3">
        <f t="shared" si="0"/>
        <v>2812.5</v>
      </c>
      <c r="F7" s="14">
        <v>1</v>
      </c>
      <c r="G7" s="3">
        <f t="shared" si="1"/>
        <v>2812.5</v>
      </c>
    </row>
    <row r="8" spans="2:7" x14ac:dyDescent="0.25">
      <c r="B8" s="2" t="s">
        <v>42</v>
      </c>
      <c r="C8" s="2">
        <v>1</v>
      </c>
      <c r="D8" s="2">
        <v>2</v>
      </c>
      <c r="E8" s="3">
        <f t="shared" si="0"/>
        <v>3750</v>
      </c>
      <c r="F8" s="14">
        <v>3</v>
      </c>
      <c r="G8" s="3">
        <f t="shared" si="1"/>
        <v>11250</v>
      </c>
    </row>
    <row r="9" spans="2:7" x14ac:dyDescent="0.25">
      <c r="B9" s="2" t="s">
        <v>43</v>
      </c>
      <c r="C9" s="2">
        <v>1.5</v>
      </c>
      <c r="D9" s="2">
        <v>2.5</v>
      </c>
      <c r="E9" s="3">
        <f t="shared" si="0"/>
        <v>5625</v>
      </c>
      <c r="F9" s="14">
        <v>4</v>
      </c>
      <c r="G9" s="3">
        <f t="shared" si="1"/>
        <v>22500</v>
      </c>
    </row>
    <row r="10" spans="2:7" x14ac:dyDescent="0.25">
      <c r="B10" s="111" t="s">
        <v>56</v>
      </c>
      <c r="C10" s="111"/>
      <c r="D10" s="111"/>
      <c r="E10" s="111"/>
      <c r="F10" s="8" t="s">
        <v>51</v>
      </c>
      <c r="G10" s="9">
        <f>G5+G6</f>
        <v>10312.5</v>
      </c>
    </row>
    <row r="11" spans="2:7" x14ac:dyDescent="0.25">
      <c r="B11" s="111"/>
      <c r="C11" s="111"/>
      <c r="D11" s="111"/>
      <c r="E11" s="111"/>
      <c r="F11" s="8" t="s">
        <v>52</v>
      </c>
      <c r="G11" s="9">
        <f>G4</f>
        <v>10125</v>
      </c>
    </row>
    <row r="12" spans="2:7" x14ac:dyDescent="0.25">
      <c r="B12" s="111"/>
      <c r="C12" s="111"/>
      <c r="D12" s="111"/>
      <c r="E12" s="111"/>
      <c r="F12" s="8" t="s">
        <v>53</v>
      </c>
      <c r="G12" s="9">
        <f>G7+G8+G9</f>
        <v>36562.5</v>
      </c>
    </row>
  </sheetData>
  <sheetProtection sheet="1" objects="1" scenarios="1"/>
  <mergeCells count="3">
    <mergeCell ref="B10:E12"/>
    <mergeCell ref="B1:G1"/>
    <mergeCell ref="F2:G2"/>
  </mergeCells>
  <hyperlinks>
    <hyperlink ref="B10:E12" r:id="rId1" location="Liquidador_de_horas_extras_diurnas_y_nocturnas" display="Descargue aquí el liquidador de horas extras" xr:uid="{3CCFB1FF-DAA0-4A0C-91F8-DE67B8BCB3E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55BC3C-4CCC-4A1B-B5C6-A7F1BFD6B356}">
          <x14:formula1>
            <xm:f>Nómina!$B$8:$B$22</xm:f>
          </x14:formula1>
          <xm:sqref>C2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Nómina</vt:lpstr>
      <vt:lpstr>Horas extras y demás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Jonathan Campos</cp:lastModifiedBy>
  <dcterms:created xsi:type="dcterms:W3CDTF">2019-05-09T10:43:18Z</dcterms:created>
  <dcterms:modified xsi:type="dcterms:W3CDTF">2020-09-19T16:25:01Z</dcterms:modified>
</cp:coreProperties>
</file>